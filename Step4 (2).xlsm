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xcfi\Downloads\"/>
    </mc:Choice>
  </mc:AlternateContent>
  <xr:revisionPtr revIDLastSave="0" documentId="13_ncr:1_{1179C7B0-814D-4373-AA8C-AE6E18A8C8A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tep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K4" i="1" s="1"/>
  <c r="J4" i="1" s="1"/>
  <c r="J2" i="1"/>
  <c r="I2" i="1" l="1"/>
</calcChain>
</file>

<file path=xl/sharedStrings.xml><?xml version="1.0" encoding="utf-8"?>
<sst xmlns="http://schemas.openxmlformats.org/spreadsheetml/2006/main" count="17" uniqueCount="17">
  <si>
    <t>x1</t>
    <phoneticPr fontId="1"/>
  </si>
  <si>
    <t>x3</t>
    <phoneticPr fontId="1"/>
  </si>
  <si>
    <t>f</t>
    <phoneticPr fontId="1"/>
  </si>
  <si>
    <t>x2</t>
    <phoneticPr fontId="1"/>
  </si>
  <si>
    <t>g7</t>
    <phoneticPr fontId="1"/>
  </si>
  <si>
    <t>x4</t>
    <phoneticPr fontId="1"/>
  </si>
  <si>
    <t>x5</t>
    <phoneticPr fontId="1"/>
  </si>
  <si>
    <t>x6</t>
    <phoneticPr fontId="1"/>
  </si>
  <si>
    <t>x7</t>
    <phoneticPr fontId="1"/>
  </si>
  <si>
    <t>Tf</t>
    <phoneticPr fontId="1"/>
  </si>
  <si>
    <t>cf1</t>
    <phoneticPr fontId="1"/>
  </si>
  <si>
    <t>cf2</t>
    <phoneticPr fontId="1"/>
  </si>
  <si>
    <t>cf3</t>
    <phoneticPr fontId="1"/>
  </si>
  <si>
    <t>cf4</t>
    <phoneticPr fontId="1"/>
  </si>
  <si>
    <t>cf5</t>
    <phoneticPr fontId="1"/>
  </si>
  <si>
    <t>cf6</t>
    <phoneticPr fontId="1"/>
  </si>
  <si>
    <t>Cg7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</si>
</sst>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28"/>
      <scheme val="minor"/>
    </font>
    <font>
      <sz val="6"/>
      <name val="宋体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11" fontId="0" fillId="2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4"/>
  <sheetViews>
    <sheetView tabSelected="1" zoomScale="83" zoomScaleNormal="83" workbookViewId="0">
      <selection activeCell="K3" sqref="K3"/>
    </sheetView>
  </sheetViews>
  <sheetFormatPr defaultColWidth="8" defaultRowHeight="14" x14ac:dyDescent="0.25"/>
  <cols>
    <col min="2" max="2" width="8.54296875" bestFit="1" customWidth="1"/>
    <col min="7" max="7" width="9.08984375" bestFit="1" customWidth="1"/>
    <col min="8" max="8" width="13.81640625" customWidth="1"/>
    <col min="9" max="9" width="8.54296875" bestFit="1" customWidth="1"/>
  </cols>
  <sheetData>
    <row r="1" spans="1:15" x14ac:dyDescent="0.25">
      <c r="A1" s="2" t="s">
        <v>0</v>
      </c>
      <c r="B1" t="s">
        <v>3</v>
      </c>
      <c r="C1" t="s">
        <v>1</v>
      </c>
      <c r="D1" t="s">
        <v>5</v>
      </c>
      <c r="E1" t="s">
        <v>6</v>
      </c>
      <c r="F1" s="2" t="s">
        <v>7</v>
      </c>
      <c r="G1" s="2" t="s">
        <v>8</v>
      </c>
      <c r="I1" t="s">
        <v>9</v>
      </c>
      <c r="J1" t="s">
        <v>2</v>
      </c>
      <c r="K1" t="s">
        <v>4</v>
      </c>
      <c r="N1" s="2"/>
    </row>
    <row r="2" spans="1:15" x14ac:dyDescent="0.25">
      <c r="A2" s="2">
        <v>2.6</v>
      </c>
      <c r="B2">
        <v>0.7</v>
      </c>
      <c r="C2">
        <v>17</v>
      </c>
      <c r="D2">
        <v>7.3</v>
      </c>
      <c r="E2">
        <v>7.3</v>
      </c>
      <c r="F2" s="2">
        <v>2.9</v>
      </c>
      <c r="G2" s="2">
        <v>5</v>
      </c>
      <c r="H2" s="1"/>
      <c r="I2">
        <f>J2+I4*J4</f>
        <v>2352.3519630207602</v>
      </c>
      <c r="J2">
        <f>J$5*A2*B2^2*(J$6*C2^2+J$7*C2-J$8)-J$9*(F2^2+G2^2)*A2+J$10*(F2^3+G2^3)+J5*(D2*F2^2+E2*G2^2)</f>
        <v>2352.3519630207602</v>
      </c>
      <c r="K2">
        <f>B2*B3/K$5</f>
        <v>1.2249999999999999E-2</v>
      </c>
      <c r="M2" s="1"/>
    </row>
    <row r="3" spans="1:15" x14ac:dyDescent="0.25">
      <c r="A3" s="2">
        <v>2.6</v>
      </c>
      <c r="B3">
        <v>0.7</v>
      </c>
      <c r="C3">
        <v>17</v>
      </c>
      <c r="D3">
        <v>7.3</v>
      </c>
      <c r="E3">
        <v>7.3</v>
      </c>
      <c r="F3" s="2">
        <v>2.9</v>
      </c>
      <c r="G3" s="3">
        <v>5</v>
      </c>
      <c r="H3" s="1"/>
      <c r="K3">
        <v>1</v>
      </c>
      <c r="M3" s="1"/>
    </row>
    <row r="4" spans="1:15" x14ac:dyDescent="0.25">
      <c r="A4" s="2">
        <v>3.6</v>
      </c>
      <c r="B4">
        <v>0.8</v>
      </c>
      <c r="C4">
        <v>28</v>
      </c>
      <c r="D4">
        <v>8.3000000000000007</v>
      </c>
      <c r="E4">
        <v>8.3000000000000007</v>
      </c>
      <c r="F4" s="2">
        <v>3.9</v>
      </c>
      <c r="G4" s="3">
        <v>5.5</v>
      </c>
      <c r="H4" s="1"/>
      <c r="I4">
        <v>10000</v>
      </c>
      <c r="J4">
        <f>SUM(K4:K4)</f>
        <v>0</v>
      </c>
      <c r="K4">
        <f t="shared" ref="K4" si="0">IF(MAX(K2,K3)&lt;=1,0,K2-K3)</f>
        <v>0</v>
      </c>
    </row>
    <row r="5" spans="1:15" x14ac:dyDescent="0.25">
      <c r="A5" s="2">
        <v>200</v>
      </c>
      <c r="B5">
        <v>3</v>
      </c>
      <c r="C5">
        <v>24</v>
      </c>
      <c r="G5" s="1"/>
      <c r="H5" s="1"/>
      <c r="I5" t="s">
        <v>10</v>
      </c>
      <c r="J5">
        <v>0.78539999999999999</v>
      </c>
      <c r="K5">
        <v>40</v>
      </c>
      <c r="M5" s="1"/>
    </row>
    <row r="6" spans="1:15" x14ac:dyDescent="0.25">
      <c r="A6">
        <v>2.6</v>
      </c>
      <c r="B6">
        <v>0.7</v>
      </c>
      <c r="C6">
        <v>17</v>
      </c>
      <c r="D6">
        <v>7.3</v>
      </c>
      <c r="E6">
        <v>7.3</v>
      </c>
      <c r="F6">
        <v>2.9</v>
      </c>
      <c r="G6">
        <v>5</v>
      </c>
      <c r="H6">
        <v>2352.3519630207602</v>
      </c>
      <c r="I6" t="s">
        <v>11</v>
      </c>
      <c r="J6">
        <v>3.3332999999999999</v>
      </c>
      <c r="K6" t="s">
        <v>16</v>
      </c>
    </row>
    <row r="7" spans="1:15" x14ac:dyDescent="0.25">
      <c r="I7" t="s">
        <v>12</v>
      </c>
      <c r="J7">
        <v>14.933400000000001</v>
      </c>
    </row>
    <row r="8" spans="1:15" x14ac:dyDescent="0.25">
      <c r="I8" t="s">
        <v>13</v>
      </c>
      <c r="J8">
        <v>43.093400000000003</v>
      </c>
    </row>
    <row r="9" spans="1:15" x14ac:dyDescent="0.25">
      <c r="G9" s="1"/>
      <c r="H9" s="1"/>
      <c r="I9" t="s">
        <v>14</v>
      </c>
      <c r="J9">
        <v>1.5079</v>
      </c>
    </row>
    <row r="10" spans="1:15" x14ac:dyDescent="0.25">
      <c r="A10" s="2">
        <v>2.6</v>
      </c>
      <c r="B10">
        <v>0.7</v>
      </c>
      <c r="C10">
        <v>17</v>
      </c>
      <c r="D10">
        <v>7.3</v>
      </c>
      <c r="E10">
        <v>7.3</v>
      </c>
      <c r="F10" s="2">
        <v>2.9</v>
      </c>
      <c r="G10" s="3">
        <v>5</v>
      </c>
      <c r="I10" t="s">
        <v>15</v>
      </c>
      <c r="J10">
        <v>7.4770000000000003</v>
      </c>
    </row>
    <row r="11" spans="1:15" x14ac:dyDescent="0.25">
      <c r="A11" s="2">
        <v>3.6</v>
      </c>
      <c r="B11">
        <v>0.8</v>
      </c>
      <c r="C11">
        <v>28</v>
      </c>
      <c r="D11">
        <v>8.3000000000000007</v>
      </c>
      <c r="E11">
        <v>8.3000000000000007</v>
      </c>
      <c r="F11" s="2">
        <v>3.9</v>
      </c>
      <c r="G11" s="3">
        <v>5.5</v>
      </c>
    </row>
    <row r="12" spans="1:15" x14ac:dyDescent="0.25">
      <c r="G12" s="1"/>
      <c r="H12" s="1"/>
      <c r="M12" s="1"/>
      <c r="N12" s="2"/>
    </row>
    <row r="13" spans="1:15" x14ac:dyDescent="0.25">
      <c r="G13" s="1"/>
      <c r="H13" s="1"/>
      <c r="M13" s="1"/>
      <c r="O13" s="2"/>
    </row>
    <row r="14" spans="1:15" x14ac:dyDescent="0.25">
      <c r="L14" s="2"/>
      <c r="M14" s="1"/>
    </row>
    <row r="15" spans="1:15" x14ac:dyDescent="0.25">
      <c r="G15" s="1"/>
      <c r="H15" s="1"/>
      <c r="K15" s="2"/>
      <c r="L15" s="2"/>
      <c r="M15" s="1"/>
    </row>
    <row r="16" spans="1:15" x14ac:dyDescent="0.25">
      <c r="G16" s="1"/>
      <c r="H16" s="1"/>
      <c r="K16" s="2"/>
      <c r="L16" s="2"/>
      <c r="M16" s="1"/>
    </row>
    <row r="17" spans="1:13" x14ac:dyDescent="0.25">
      <c r="G17" s="1"/>
      <c r="H17" s="1"/>
      <c r="K17" s="2"/>
      <c r="L17" s="2"/>
      <c r="M17" s="1"/>
    </row>
    <row r="18" spans="1:13" x14ac:dyDescent="0.25">
      <c r="G18" s="1"/>
      <c r="H18" s="1"/>
      <c r="K18" s="2"/>
      <c r="L18" s="2"/>
      <c r="M18" s="1"/>
    </row>
    <row r="19" spans="1:13" x14ac:dyDescent="0.25">
      <c r="G19" s="1"/>
      <c r="H19" s="1"/>
      <c r="K19" s="2"/>
      <c r="L19" s="2"/>
      <c r="M19" s="1"/>
    </row>
    <row r="20" spans="1:13" x14ac:dyDescent="0.25">
      <c r="G20" s="1"/>
      <c r="H20" s="1"/>
      <c r="K20" s="2"/>
      <c r="L20" s="2"/>
      <c r="M20" s="1"/>
    </row>
    <row r="21" spans="1:13" x14ac:dyDescent="0.25">
      <c r="A21">
        <v>2680.2224292130131</v>
      </c>
      <c r="G21" s="1"/>
      <c r="H21" s="1"/>
      <c r="K21" s="2"/>
      <c r="L21" s="2"/>
      <c r="M21" s="1"/>
    </row>
    <row r="22" spans="1:13" x14ac:dyDescent="0.25">
      <c r="A22">
        <v>2415.0688467828886</v>
      </c>
      <c r="G22" s="1"/>
      <c r="H22" s="1"/>
      <c r="K22" s="2"/>
      <c r="L22" s="2"/>
      <c r="M22" s="1"/>
    </row>
    <row r="23" spans="1:13" x14ac:dyDescent="0.25">
      <c r="A23">
        <v>2352.3519630207602</v>
      </c>
    </row>
    <row r="24" spans="1:13" x14ac:dyDescent="0.25">
      <c r="A24">
        <v>2352.3519630207602</v>
      </c>
    </row>
    <row r="25" spans="1:13" x14ac:dyDescent="0.25">
      <c r="A25">
        <v>2352.3519630207602</v>
      </c>
      <c r="G25" s="1"/>
      <c r="H25" s="1"/>
      <c r="M25" s="1"/>
    </row>
    <row r="26" spans="1:13" x14ac:dyDescent="0.25">
      <c r="A26">
        <v>2352.3519630207602</v>
      </c>
      <c r="G26" s="1"/>
      <c r="H26" s="1"/>
      <c r="M26" s="1"/>
    </row>
    <row r="27" spans="1:13" x14ac:dyDescent="0.25">
      <c r="A27">
        <v>2352.3519630207602</v>
      </c>
      <c r="G27" s="1"/>
      <c r="H27" s="1"/>
      <c r="M27" s="1"/>
    </row>
    <row r="28" spans="1:13" x14ac:dyDescent="0.25">
      <c r="A28">
        <v>2352.3519630207602</v>
      </c>
      <c r="G28" s="1"/>
      <c r="H28" s="1"/>
      <c r="M28" s="1"/>
    </row>
    <row r="29" spans="1:13" x14ac:dyDescent="0.25">
      <c r="A29">
        <v>2352.3519630207602</v>
      </c>
    </row>
    <row r="30" spans="1:13" x14ac:dyDescent="0.25">
      <c r="A30">
        <v>2352.3519630207602</v>
      </c>
    </row>
    <row r="31" spans="1:13" x14ac:dyDescent="0.25">
      <c r="A31">
        <v>2352.3519630207602</v>
      </c>
    </row>
    <row r="32" spans="1:13" x14ac:dyDescent="0.25">
      <c r="A32">
        <v>2352.3519630207602</v>
      </c>
    </row>
    <row r="33" spans="1:1" x14ac:dyDescent="0.25">
      <c r="A33">
        <v>2352.3519630207602</v>
      </c>
    </row>
    <row r="34" spans="1:1" x14ac:dyDescent="0.25">
      <c r="A34">
        <v>2352.3519630207602</v>
      </c>
    </row>
    <row r="35" spans="1:1" x14ac:dyDescent="0.25">
      <c r="A35">
        <v>2352.3519630207602</v>
      </c>
    </row>
    <row r="36" spans="1:1" x14ac:dyDescent="0.25">
      <c r="A36">
        <v>2352.3519630207602</v>
      </c>
    </row>
    <row r="37" spans="1:1" x14ac:dyDescent="0.25">
      <c r="A37">
        <v>2352.3519630207602</v>
      </c>
    </row>
    <row r="38" spans="1:1" x14ac:dyDescent="0.25">
      <c r="A38">
        <v>2352.3519630207602</v>
      </c>
    </row>
    <row r="39" spans="1:1" x14ac:dyDescent="0.25">
      <c r="A39">
        <v>2352.3519630207602</v>
      </c>
    </row>
    <row r="40" spans="1:1" x14ac:dyDescent="0.25">
      <c r="A40">
        <v>2352.3519630207602</v>
      </c>
    </row>
    <row r="41" spans="1:1" x14ac:dyDescent="0.25">
      <c r="A41">
        <v>2352.3519630207602</v>
      </c>
    </row>
    <row r="42" spans="1:1" x14ac:dyDescent="0.25">
      <c r="A42">
        <v>2352.3519630207602</v>
      </c>
    </row>
    <row r="43" spans="1:1" x14ac:dyDescent="0.25">
      <c r="A43">
        <v>2352.3519630207602</v>
      </c>
    </row>
    <row r="44" spans="1:1" x14ac:dyDescent="0.25">
      <c r="A44">
        <v>2352.3519630207602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Step4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MasaoArakawa</dc:creator>
  <cp:lastModifiedBy>希晨 梁</cp:lastModifiedBy>
  <dcterms:created xsi:type="dcterms:W3CDTF">2015-09-24T01:58:12Z</dcterms:created>
  <dcterms:modified xsi:type="dcterms:W3CDTF">2026-06-11T00:38:40Z</dcterms:modified>
</cp:coreProperties>
</file>